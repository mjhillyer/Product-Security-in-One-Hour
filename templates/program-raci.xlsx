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Your RACI" sheetId="1" state="visible" r:id="rId1"/>
    <sheet xmlns:r="http://schemas.openxmlformats.org/officeDocument/2006/relationships" name="Typical reference" sheetId="2" state="visible" r:id="rId2"/>
    <sheet xmlns:r="http://schemas.openxmlformats.org/officeDocument/2006/relationships" name="How to use" sheetId="3" state="visible" r:id="rId3"/>
  </sheets>
  <definedNames>
    <definedName name="_xlnm.Print_Titles" localSheetId="0">'Your RACI'!$5:$5</definedName>
    <definedName name="_xlnm.Print_Area" localSheetId="0">'Your RACI'!$A$1:$O$30</definedName>
    <definedName name="_xlnm.Print_Titles" localSheetId="1">'Typical reference'!$5:$5</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FFFF"/>
      <sz val="16"/>
    </font>
    <font>
      <name val="Calibri"/>
      <b val="1"/>
      <color rgb="00FFFFFF"/>
      <sz val="10"/>
    </font>
    <font>
      <name val="Calibri"/>
      <b val="1"/>
      <color rgb="00233884"/>
      <sz val="10"/>
    </font>
    <font>
      <name val="Calibri"/>
      <i val="1"/>
      <color rgb="005A6B7B"/>
      <sz val="9"/>
    </font>
    <font>
      <name val="Calibri"/>
      <b val="1"/>
      <color rgb="007E44A9"/>
      <sz val="10"/>
    </font>
    <font>
      <name val="Calibri"/>
      <color rgb="005A6B7B"/>
      <sz val="10"/>
    </font>
    <font>
      <name val="Calibri"/>
      <color rgb="001B2733"/>
      <sz val="10"/>
    </font>
    <font>
      <name val="Calibri"/>
      <b val="1"/>
      <color rgb="001B2733"/>
      <sz val="10"/>
    </font>
    <font>
      <name val="Calibri"/>
      <color rgb="001B2733"/>
      <sz val="9"/>
    </font>
    <font>
      <name val="Calibri"/>
      <b val="1"/>
      <color rgb="00233884"/>
      <sz val="11"/>
    </font>
    <font>
      <name val="Calibri"/>
      <b val="1"/>
      <color rgb="007E44A9"/>
      <sz val="11"/>
    </font>
  </fonts>
  <fills count="9">
    <fill>
      <patternFill/>
    </fill>
    <fill>
      <patternFill patternType="gray125"/>
    </fill>
    <fill>
      <patternFill patternType="solid">
        <fgColor rgb="001A2766"/>
      </patternFill>
    </fill>
    <fill>
      <patternFill patternType="solid">
        <fgColor rgb="009C3396"/>
      </patternFill>
    </fill>
    <fill>
      <patternFill patternType="solid">
        <fgColor rgb="00233884"/>
      </patternFill>
    </fill>
    <fill>
      <patternFill patternType="solid">
        <fgColor rgb="004F6273"/>
      </patternFill>
    </fill>
    <fill>
      <patternFill patternType="solid">
        <fgColor rgb="00F3EAF6"/>
      </patternFill>
    </fill>
    <fill>
      <patternFill patternType="solid">
        <fgColor rgb="00F7F9FB"/>
      </patternFill>
    </fill>
    <fill>
      <patternFill patternType="solid">
        <fgColor rgb="00EEF1F4"/>
      </patternFill>
    </fill>
  </fills>
  <borders count="4">
    <border>
      <left/>
      <right/>
      <top/>
      <bottom/>
      <diagonal/>
    </border>
    <border>
      <bottom style="thin">
        <color rgb="008FA3B5"/>
      </bottom>
    </border>
    <border>
      <left/>
      <right/>
      <top/>
      <bottom style="thin">
        <color rgb="008FA3B5"/>
      </bottom>
      <diagonal/>
    </border>
    <border>
      <left style="thin">
        <color rgb="00C9D3DD"/>
      </left>
      <right style="thin">
        <color rgb="00C9D3DD"/>
      </right>
      <top style="thin">
        <color rgb="00C9D3DD"/>
      </top>
      <bottom style="thin">
        <color rgb="00C9D3DD"/>
      </bottom>
    </border>
  </borders>
  <cellStyleXfs count="1">
    <xf numFmtId="0" fontId="0" fillId="0" borderId="0"/>
  </cellStyleXfs>
  <cellXfs count="27">
    <xf numFmtId="0" fontId="0" fillId="0" borderId="0" pivotButton="0" quotePrefix="0" xfId="0"/>
    <xf numFmtId="0" fontId="1" fillId="2" borderId="0" applyAlignment="1" pivotButton="0" quotePrefix="0" xfId="0">
      <alignment vertical="center"/>
    </xf>
    <xf numFmtId="0" fontId="0" fillId="2" borderId="0" pivotButton="0" quotePrefix="0" xfId="0"/>
    <xf numFmtId="0" fontId="2" fillId="3" borderId="0" applyAlignment="1" pivotButton="0" quotePrefix="0" xfId="0">
      <alignment vertical="center"/>
    </xf>
    <xf numFmtId="0" fontId="0" fillId="3" borderId="0" pivotButton="0" quotePrefix="0" xfId="0"/>
    <xf numFmtId="0" fontId="3" fillId="0" borderId="0" applyAlignment="1" pivotButton="0" quotePrefix="0" xfId="0">
      <alignment horizontal="right" vertical="center"/>
    </xf>
    <xf numFmtId="0" fontId="0" fillId="0" borderId="1" pivotButton="0" quotePrefix="0" xfId="0"/>
    <xf numFmtId="0" fontId="0" fillId="0" borderId="2" pivotButton="0" quotePrefix="0" xfId="0"/>
    <xf numFmtId="0" fontId="4" fillId="0" borderId="0" pivotButton="0" quotePrefix="0" xfId="0"/>
    <xf numFmtId="0" fontId="2" fillId="4" borderId="3" applyAlignment="1" pivotButton="0" quotePrefix="0" xfId="0">
      <alignment vertical="center" wrapText="1"/>
    </xf>
    <xf numFmtId="0" fontId="2" fillId="4" borderId="3" applyAlignment="1" pivotButton="0" quotePrefix="0" xfId="0">
      <alignment horizontal="center" vertical="center" wrapText="1"/>
    </xf>
    <xf numFmtId="0" fontId="2" fillId="5" borderId="3" applyAlignment="1" pivotButton="0" quotePrefix="0" xfId="0">
      <alignment horizontal="center" vertical="center" wrapText="1"/>
    </xf>
    <xf numFmtId="0" fontId="5" fillId="6" borderId="3" pivotButton="0" quotePrefix="0" xfId="0"/>
    <xf numFmtId="0" fontId="0" fillId="6" borderId="3" pivotButton="0" quotePrefix="0" xfId="0"/>
    <xf numFmtId="0" fontId="6" fillId="0" borderId="3" applyAlignment="1" pivotButton="0" quotePrefix="0" xfId="0">
      <alignment horizontal="center" vertical="center" wrapText="1"/>
    </xf>
    <xf numFmtId="0" fontId="7" fillId="0" borderId="3" applyAlignment="1" pivotButton="0" quotePrefix="0" xfId="0">
      <alignment vertical="top" wrapText="1"/>
    </xf>
    <xf numFmtId="0" fontId="8" fillId="0" borderId="3" applyAlignment="1" pivotButton="0" quotePrefix="0" xfId="0">
      <alignment horizontal="center" vertical="center" wrapText="1"/>
    </xf>
    <xf numFmtId="0" fontId="8" fillId="7" borderId="3" applyAlignment="1" pivotButton="0" quotePrefix="0" xfId="0">
      <alignment horizontal="center" vertical="center" wrapText="1"/>
    </xf>
    <xf numFmtId="0" fontId="6" fillId="8" borderId="3" applyAlignment="1" pivotButton="0" quotePrefix="0" xfId="0">
      <alignment horizontal="center" vertical="center" wrapText="1"/>
    </xf>
    <xf numFmtId="0" fontId="7" fillId="8" borderId="3" applyAlignment="1" pivotButton="0" quotePrefix="0" xfId="0">
      <alignment horizontal="center" vertical="center" wrapText="1"/>
    </xf>
    <xf numFmtId="0" fontId="4" fillId="0" borderId="0" applyAlignment="1" pivotButton="0" quotePrefix="0" xfId="0">
      <alignment vertical="top" wrapText="1"/>
    </xf>
    <xf numFmtId="0" fontId="9" fillId="0" borderId="3" applyAlignment="1" pivotButton="0" quotePrefix="0" xfId="0">
      <alignment vertical="top" wrapText="1"/>
    </xf>
    <xf numFmtId="0" fontId="1" fillId="2" borderId="0" pivotButton="0" quotePrefix="0" xfId="0"/>
    <xf numFmtId="0" fontId="2" fillId="3" borderId="0" pivotButton="0" quotePrefix="0" xfId="0"/>
    <xf numFmtId="0" fontId="10" fillId="0" borderId="0" applyAlignment="1" pivotButton="0" quotePrefix="0" xfId="0">
      <alignment vertical="top" wrapText="1"/>
    </xf>
    <xf numFmtId="0" fontId="7" fillId="0" borderId="0" applyAlignment="1" pivotButton="0" quotePrefix="0" xfId="0">
      <alignment vertical="top" wrapText="1"/>
    </xf>
    <xf numFmtId="0" fontId="11" fillId="0" borderId="0" applyAlignment="1" pivotButton="0" quotePrefix="0" xfId="0">
      <alignment vertical="top" wrapText="1"/>
    </xf>
  </cellXfs>
  <cellStyles count="1">
    <cellStyle name="Normal" xfId="0" builtinId="0" hidden="0"/>
  </cellStyles>
  <dxfs count="5">
    <dxf>
      <font>
        <b val="1"/>
        <color rgb="007E44A9"/>
      </font>
      <fill>
        <patternFill patternType="solid">
          <fgColor rgb="00F3EAF6"/>
          <bgColor rgb="00F3EAF6"/>
        </patternFill>
      </fill>
    </dxf>
    <dxf>
      <font>
        <b val="1"/>
        <color rgb="00233884"/>
      </font>
      <fill>
        <patternFill patternType="solid">
          <fgColor rgb="00E1EDF9"/>
          <bgColor rgb="00E1EDF9"/>
        </patternFill>
      </fill>
    </dxf>
    <dxf>
      <font>
        <b val="1"/>
        <color rgb="009A4A0C"/>
      </font>
      <fill>
        <patternFill patternType="solid">
          <fgColor rgb="00FDEBD8"/>
          <bgColor rgb="00FDEBD8"/>
        </patternFill>
      </fill>
    </dxf>
    <dxf>
      <font>
        <b val="1"/>
        <color rgb="00A12828"/>
      </font>
      <fill>
        <patternFill patternType="solid">
          <fgColor rgb="00FBE3E3"/>
          <bgColor rgb="00FBE3E3"/>
        </patternFill>
      </fill>
    </dxf>
    <dxf>
      <font>
        <b val="1"/>
        <color rgb="001E6B3A"/>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9C3396"/>
    <outlinePr summaryBelow="1" summaryRight="1"/>
    <pageSetUpPr fitToPage="1"/>
  </sheetPr>
  <dimension ref="A1:O30"/>
  <sheetViews>
    <sheetView showGridLines="0" tabSelected="1" zoomScale="10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50"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9" customWidth="1" min="13" max="13"/>
    <col width="17" customWidth="1" min="14" max="14"/>
    <col width="12" customWidth="1" min="15" max="15"/>
  </cols>
  <sheetData>
    <row r="1" ht="30" customHeight="1">
      <c r="A1" s="1" t="inlineStr">
        <is>
          <t>Product Security Program RACI</t>
        </is>
      </c>
      <c r="B1" s="2" t="n"/>
      <c r="C1" s="2" t="n"/>
      <c r="D1" s="2" t="n"/>
      <c r="E1" s="2" t="n"/>
      <c r="F1" s="2" t="n"/>
      <c r="G1" s="2" t="n"/>
      <c r="H1" s="2" t="n"/>
      <c r="I1" s="2" t="n"/>
      <c r="J1" s="2" t="n"/>
      <c r="K1" s="2" t="n"/>
      <c r="L1" s="2" t="n"/>
      <c r="M1" s="2" t="n"/>
      <c r="N1" s="2" t="n"/>
      <c r="O1" s="2" t="n"/>
    </row>
    <row r="2" ht="20" customHeight="1">
      <c r="A2" s="3" t="inlineStr">
        <is>
          <t>Your RACI  ·  Fill in R, A, C, I or A/R for each activity (dropdowns). Exactly one A (or A/R) per row. See the 'How to use' sheet.</t>
        </is>
      </c>
      <c r="B2" s="4" t="n"/>
      <c r="C2" s="4" t="n"/>
      <c r="D2" s="4" t="n"/>
      <c r="E2" s="4" t="n"/>
      <c r="F2" s="4" t="n"/>
      <c r="G2" s="4" t="n"/>
      <c r="H2" s="4" t="n"/>
      <c r="I2" s="4" t="n"/>
      <c r="J2" s="4" t="n"/>
      <c r="K2" s="4" t="n"/>
      <c r="L2" s="4" t="n"/>
      <c r="M2" s="4" t="n"/>
      <c r="N2" s="4" t="n"/>
      <c r="O2" s="4" t="n"/>
    </row>
    <row r="3" ht="22" customHeight="1">
      <c r="A3" s="5" t="inlineStr">
        <is>
          <t>Organization / product:</t>
        </is>
      </c>
      <c r="C3" s="6" t="n"/>
      <c r="D3" s="7" t="n"/>
      <c r="E3" s="7" t="n"/>
      <c r="F3" s="7" t="n"/>
      <c r="G3" s="5" t="inlineStr">
        <is>
          <t>Date:</t>
        </is>
      </c>
      <c r="H3" s="6" t="n"/>
      <c r="I3" s="7" t="n"/>
    </row>
    <row r="4">
      <c r="A4" s="8" t="inlineStr">
        <is>
          <t>R = Responsible (does the work)   ·   A = Accountable (owns the outcome; exactly one per row)   ·   C = Consulted (gives input before)   ·   I = Informed (told after)   ·   A/R = accountable and does the work</t>
        </is>
      </c>
    </row>
    <row r="5" ht="32" customHeight="1">
      <c r="A5" s="9" t="inlineStr">
        <is>
          <t>#</t>
        </is>
      </c>
      <c r="B5" s="9" t="inlineStr">
        <is>
          <t>Activity</t>
        </is>
      </c>
      <c r="C5" s="10" t="inlineStr">
        <is>
          <t>Product owner</t>
        </is>
      </c>
      <c r="D5" s="10" t="inlineStr">
        <is>
          <t>Program manager</t>
        </is>
      </c>
      <c r="E5" s="10" t="inlineStr">
        <is>
          <t>Engineering</t>
        </is>
      </c>
      <c r="F5" s="10" t="inlineStr">
        <is>
          <t>Product security</t>
        </is>
      </c>
      <c r="G5" s="10" t="inlineStr">
        <is>
          <t>Quality &amp; regulatory</t>
        </is>
      </c>
      <c r="H5" s="10" t="inlineStr">
        <is>
          <t>Clinical</t>
        </is>
      </c>
      <c r="I5" s="10" t="inlineStr">
        <is>
          <t>Service &amp; support</t>
        </is>
      </c>
      <c r="J5" s="10" t="inlineStr">
        <is>
          <t>Sales &amp; customer-facing</t>
        </is>
      </c>
      <c r="K5" s="10" t="inlineStr">
        <is>
          <t>Supply chain</t>
        </is>
      </c>
      <c r="L5" s="11" t="inlineStr">
        <is>
          <t>Other (rename)</t>
        </is>
      </c>
      <c r="M5" s="10" t="inlineStr">
        <is>
          <t>A count (auto)</t>
        </is>
      </c>
      <c r="N5" s="10" t="inlineStr">
        <is>
          <t>Check (auto)</t>
        </is>
      </c>
      <c r="O5" s="10" t="inlineStr">
        <is>
          <t>Differs from typical (auto)</t>
        </is>
      </c>
    </row>
    <row r="6" ht="18" customHeight="1">
      <c r="A6" s="12" t="inlineStr">
        <is>
          <t>Premarket</t>
        </is>
      </c>
      <c r="B6" s="13" t="n"/>
      <c r="C6" s="13" t="n"/>
      <c r="D6" s="13" t="n"/>
      <c r="E6" s="13" t="n"/>
      <c r="F6" s="13" t="n"/>
      <c r="G6" s="13" t="n"/>
      <c r="H6" s="13" t="n"/>
      <c r="I6" s="13" t="n"/>
      <c r="J6" s="13" t="n"/>
      <c r="K6" s="13" t="n"/>
      <c r="L6" s="13" t="n"/>
      <c r="M6" s="13" t="n"/>
      <c r="N6" s="13" t="n"/>
      <c r="O6" s="13" t="n"/>
    </row>
    <row r="7" ht="33" customHeight="1">
      <c r="A7" s="14" t="n">
        <v>1</v>
      </c>
      <c r="B7" s="15" t="inlineStr">
        <is>
          <t>Decide whether a new feature or design change affects security, and bring in product security</t>
        </is>
      </c>
      <c r="C7" s="16" t="n"/>
      <c r="D7" s="16" t="n"/>
      <c r="E7" s="16" t="n"/>
      <c r="F7" s="16" t="n"/>
      <c r="G7" s="16" t="n"/>
      <c r="H7" s="16" t="n"/>
      <c r="I7" s="16" t="n"/>
      <c r="J7" s="16" t="n"/>
      <c r="K7" s="16" t="n"/>
      <c r="L7" s="17" t="n"/>
      <c r="M7" s="18">
        <f>COUNTIF(C7:L7,"A")+COUNTIF(C7:L7,"A/R")</f>
        <v/>
      </c>
      <c r="N7" s="19">
        <f>IF(COUNTA(C7:L7)=0,"",IF(M7=0,"No A",IF(M7&gt;1,"More than one A","OK")))</f>
        <v/>
      </c>
      <c r="O7" s="18">
        <f>IF(COUNTA(C7:L7)=0,"",SUMPRODUCT((C7:K7&lt;&gt;'Typical reference'!C7:K7)*1))</f>
        <v/>
      </c>
    </row>
    <row r="8" ht="33" customHeight="1">
      <c r="A8" s="14" t="n">
        <v>2</v>
      </c>
      <c r="B8" s="15" t="inlineStr">
        <is>
          <t>Plan security activities and deliverables into the project schedule</t>
        </is>
      </c>
      <c r="C8" s="16" t="n"/>
      <c r="D8" s="16" t="n"/>
      <c r="E8" s="16" t="n"/>
      <c r="F8" s="16" t="n"/>
      <c r="G8" s="16" t="n"/>
      <c r="H8" s="16" t="n"/>
      <c r="I8" s="16" t="n"/>
      <c r="J8" s="16" t="n"/>
      <c r="K8" s="16" t="n"/>
      <c r="L8" s="17" t="n"/>
      <c r="M8" s="18">
        <f>COUNTIF(C8:L8,"A")+COUNTIF(C8:L8,"A/R")</f>
        <v/>
      </c>
      <c r="N8" s="19">
        <f>IF(COUNTA(C8:L8)=0,"",IF(M8=0,"No A",IF(M8&gt;1,"More than one A","OK")))</f>
        <v/>
      </c>
      <c r="O8" s="18">
        <f>IF(COUNTA(C8:L8)=0,"",SUMPRODUCT((C8:K8&lt;&gt;'Typical reference'!C8:K8)*1))</f>
        <v/>
      </c>
    </row>
    <row r="9" ht="19.5" customHeight="1">
      <c r="A9" s="14" t="n">
        <v>3</v>
      </c>
      <c r="B9" s="15" t="inlineStr">
        <is>
          <t>Threat model the product and assess security risk</t>
        </is>
      </c>
      <c r="C9" s="16" t="n"/>
      <c r="D9" s="16" t="n"/>
      <c r="E9" s="16" t="n"/>
      <c r="F9" s="16" t="n"/>
      <c r="G9" s="16" t="n"/>
      <c r="H9" s="16" t="n"/>
      <c r="I9" s="16" t="n"/>
      <c r="J9" s="16" t="n"/>
      <c r="K9" s="16" t="n"/>
      <c r="L9" s="17" t="n"/>
      <c r="M9" s="18">
        <f>COUNTIF(C9:L9,"A")+COUNTIF(C9:L9,"A/R")</f>
        <v/>
      </c>
      <c r="N9" s="19">
        <f>IF(COUNTA(C9:L9)=0,"",IF(M9=0,"No A",IF(M9&gt;1,"More than one A","OK")))</f>
        <v/>
      </c>
      <c r="O9" s="18">
        <f>IF(COUNTA(C9:L9)=0,"",SUMPRODUCT((C9:K9&lt;&gt;'Typical reference'!C9:K9)*1))</f>
        <v/>
      </c>
    </row>
    <row r="10" ht="19.5" customHeight="1">
      <c r="A10" s="14" t="n">
        <v>4</v>
      </c>
      <c r="B10" s="15" t="inlineStr">
        <is>
          <t>Define security requirements and trace them to tests</t>
        </is>
      </c>
      <c r="C10" s="16" t="n"/>
      <c r="D10" s="16" t="n"/>
      <c r="E10" s="16" t="n"/>
      <c r="F10" s="16" t="n"/>
      <c r="G10" s="16" t="n"/>
      <c r="H10" s="16" t="n"/>
      <c r="I10" s="16" t="n"/>
      <c r="J10" s="16" t="n"/>
      <c r="K10" s="16" t="n"/>
      <c r="L10" s="17" t="n"/>
      <c r="M10" s="18">
        <f>COUNTIF(C10:L10,"A")+COUNTIF(C10:L10,"A/R")</f>
        <v/>
      </c>
      <c r="N10" s="19">
        <f>IF(COUNTA(C10:L10)=0,"",IF(M10=0,"No A",IF(M10&gt;1,"More than one A","OK")))</f>
        <v/>
      </c>
      <c r="O10" s="18">
        <f>IF(COUNTA(C10:L10)=0,"",SUMPRODUCT((C10:K10&lt;&gt;'Typical reference'!C10:K10)*1))</f>
        <v/>
      </c>
    </row>
    <row r="11" ht="33" customHeight="1">
      <c r="A11" s="14" t="n">
        <v>5</v>
      </c>
      <c r="B11" s="15" t="inlineStr">
        <is>
          <t>Select third-party and open-source components and keep the SBOM current</t>
        </is>
      </c>
      <c r="C11" s="16" t="n"/>
      <c r="D11" s="16" t="n"/>
      <c r="E11" s="16" t="n"/>
      <c r="F11" s="16" t="n"/>
      <c r="G11" s="16" t="n"/>
      <c r="H11" s="16" t="n"/>
      <c r="I11" s="16" t="n"/>
      <c r="J11" s="16" t="n"/>
      <c r="K11" s="16" t="n"/>
      <c r="L11" s="17" t="n"/>
      <c r="M11" s="18">
        <f>COUNTIF(C11:L11,"A")+COUNTIF(C11:L11,"A/R")</f>
        <v/>
      </c>
      <c r="N11" s="19">
        <f>IF(COUNTA(C11:L11)=0,"",IF(M11=0,"No A",IF(M11&gt;1,"More than one A","OK")))</f>
        <v/>
      </c>
      <c r="O11" s="18">
        <f>IF(COUNTA(C11:L11)=0,"",SUMPRODUCT((C11:K11&lt;&gt;'Typical reference'!C11:K11)*1))</f>
        <v/>
      </c>
    </row>
    <row r="12" ht="19.5" customHeight="1">
      <c r="A12" s="14" t="n">
        <v>6</v>
      </c>
      <c r="B12" s="15" t="inlineStr">
        <is>
          <t>Run security testing, including penetration testing</t>
        </is>
      </c>
      <c r="C12" s="16" t="n"/>
      <c r="D12" s="16" t="n"/>
      <c r="E12" s="16" t="n"/>
      <c r="F12" s="16" t="n"/>
      <c r="G12" s="16" t="n"/>
      <c r="H12" s="16" t="n"/>
      <c r="I12" s="16" t="n"/>
      <c r="J12" s="16" t="n"/>
      <c r="K12" s="16" t="n"/>
      <c r="L12" s="17" t="n"/>
      <c r="M12" s="18">
        <f>COUNTIF(C12:L12,"A")+COUNTIF(C12:L12,"A/R")</f>
        <v/>
      </c>
      <c r="N12" s="19">
        <f>IF(COUNTA(C12:L12)=0,"",IF(M12=0,"No A",IF(M12&gt;1,"More than one A","OK")))</f>
        <v/>
      </c>
      <c r="O12" s="18">
        <f>IF(COUNTA(C12:L12)=0,"",SUMPRODUCT((C12:K12&lt;&gt;'Typical reference'!C12:K12)*1))</f>
        <v/>
      </c>
    </row>
    <row r="13" ht="33" customHeight="1">
      <c r="A13" s="14" t="n">
        <v>7</v>
      </c>
      <c r="B13" s="15" t="inlineStr">
        <is>
          <t>Prepare the cybersecurity content of the regulatory submission</t>
        </is>
      </c>
      <c r="C13" s="16" t="n"/>
      <c r="D13" s="16" t="n"/>
      <c r="E13" s="16" t="n"/>
      <c r="F13" s="16" t="n"/>
      <c r="G13" s="16" t="n"/>
      <c r="H13" s="16" t="n"/>
      <c r="I13" s="16" t="n"/>
      <c r="J13" s="16" t="n"/>
      <c r="K13" s="16" t="n"/>
      <c r="L13" s="17" t="n"/>
      <c r="M13" s="18">
        <f>COUNTIF(C13:L13,"A")+COUNTIF(C13:L13,"A/R")</f>
        <v/>
      </c>
      <c r="N13" s="19">
        <f>IF(COUNTA(C13:L13)=0,"",IF(M13=0,"No A",IF(M13&gt;1,"More than one A","OK")))</f>
        <v/>
      </c>
      <c r="O13" s="18">
        <f>IF(COUNTA(C13:L13)=0,"",SUMPRODUCT((C13:K13&lt;&gt;'Typical reference'!C13:K13)*1))</f>
        <v/>
      </c>
    </row>
    <row r="14" ht="18" customHeight="1">
      <c r="A14" s="12" t="inlineStr">
        <is>
          <t>Postmarket</t>
        </is>
      </c>
      <c r="B14" s="13" t="n"/>
      <c r="C14" s="13" t="n"/>
      <c r="D14" s="13" t="n"/>
      <c r="E14" s="13" t="n"/>
      <c r="F14" s="13" t="n"/>
      <c r="G14" s="13" t="n"/>
      <c r="H14" s="13" t="n"/>
      <c r="I14" s="13" t="n"/>
      <c r="J14" s="13" t="n"/>
      <c r="K14" s="13" t="n"/>
      <c r="L14" s="13" t="n"/>
      <c r="M14" s="13" t="n"/>
      <c r="N14" s="13" t="n"/>
      <c r="O14" s="13" t="n"/>
    </row>
    <row r="15" ht="19.5" customHeight="1">
      <c r="A15" s="14" t="n">
        <v>8</v>
      </c>
      <c r="B15" s="15" t="inlineStr">
        <is>
          <t>Receive and triage vulnerability reports (PSIRT)</t>
        </is>
      </c>
      <c r="C15" s="16" t="n"/>
      <c r="D15" s="16" t="n"/>
      <c r="E15" s="16" t="n"/>
      <c r="F15" s="16" t="n"/>
      <c r="G15" s="16" t="n"/>
      <c r="H15" s="16" t="n"/>
      <c r="I15" s="16" t="n"/>
      <c r="J15" s="16" t="n"/>
      <c r="K15" s="16" t="n"/>
      <c r="L15" s="17" t="n"/>
      <c r="M15" s="18">
        <f>COUNTIF(C15:L15,"A")+COUNTIF(C15:L15,"A/R")</f>
        <v/>
      </c>
      <c r="N15" s="19">
        <f>IF(COUNTA(C15:L15)=0,"",IF(M15=0,"No A",IF(M15&gt;1,"More than one A","OK")))</f>
        <v/>
      </c>
      <c r="O15" s="18">
        <f>IF(COUNTA(C15:L15)=0,"",SUMPRODUCT((C15:K15&lt;&gt;'Typical reference'!C15:K15)*1))</f>
        <v/>
      </c>
    </row>
    <row r="16" ht="33" customHeight="1">
      <c r="A16" s="14" t="n">
        <v>9</v>
      </c>
      <c r="B16" s="15" t="inlineStr">
        <is>
          <t>Assess a vulnerability's patient-safety impact (controlled or uncontrolled risk)</t>
        </is>
      </c>
      <c r="C16" s="16" t="n"/>
      <c r="D16" s="16" t="n"/>
      <c r="E16" s="16" t="n"/>
      <c r="F16" s="16" t="n"/>
      <c r="G16" s="16" t="n"/>
      <c r="H16" s="16" t="n"/>
      <c r="I16" s="16" t="n"/>
      <c r="J16" s="16" t="n"/>
      <c r="K16" s="16" t="n"/>
      <c r="L16" s="17" t="n"/>
      <c r="M16" s="18">
        <f>COUNTIF(C16:L16,"A")+COUNTIF(C16:L16,"A/R")</f>
        <v/>
      </c>
      <c r="N16" s="19">
        <f>IF(COUNTA(C16:L16)=0,"",IF(M16=0,"No A",IF(M16&gt;1,"More than one A","OK")))</f>
        <v/>
      </c>
      <c r="O16" s="18">
        <f>IF(COUNTA(C16:L16)=0,"",SUMPRODUCT((C16:K16&lt;&gt;'Typical reference'!C16:K16)*1))</f>
        <v/>
      </c>
    </row>
    <row r="17" ht="33" customHeight="1">
      <c r="A17" s="14" t="n">
        <v>10</v>
      </c>
      <c r="B17" s="15" t="inlineStr">
        <is>
          <t>Communicate with customers about a vulnerability and its mitigations</t>
        </is>
      </c>
      <c r="C17" s="16" t="n"/>
      <c r="D17" s="16" t="n"/>
      <c r="E17" s="16" t="n"/>
      <c r="F17" s="16" t="n"/>
      <c r="G17" s="16" t="n"/>
      <c r="H17" s="16" t="n"/>
      <c r="I17" s="16" t="n"/>
      <c r="J17" s="16" t="n"/>
      <c r="K17" s="16" t="n"/>
      <c r="L17" s="17" t="n"/>
      <c r="M17" s="18">
        <f>COUNTIF(C17:L17,"A")+COUNTIF(C17:L17,"A/R")</f>
        <v/>
      </c>
      <c r="N17" s="19">
        <f>IF(COUNTA(C17:L17)=0,"",IF(M17=0,"No A",IF(M17&gt;1,"More than one A","OK")))</f>
        <v/>
      </c>
      <c r="O17" s="18">
        <f>IF(COUNTA(C17:L17)=0,"",SUMPRODUCT((C17:K17&lt;&gt;'Typical reference'!C17:K17)*1))</f>
        <v/>
      </c>
    </row>
    <row r="18" ht="33" customHeight="1">
      <c r="A18" s="14" t="n">
        <v>11</v>
      </c>
      <c r="B18" s="15" t="inlineStr">
        <is>
          <t>Answer hospital security questionnaires and provide the MDS2 form</t>
        </is>
      </c>
      <c r="C18" s="16" t="n"/>
      <c r="D18" s="16" t="n"/>
      <c r="E18" s="16" t="n"/>
      <c r="F18" s="16" t="n"/>
      <c r="G18" s="16" t="n"/>
      <c r="H18" s="16" t="n"/>
      <c r="I18" s="16" t="n"/>
      <c r="J18" s="16" t="n"/>
      <c r="K18" s="16" t="n"/>
      <c r="L18" s="17" t="n"/>
      <c r="M18" s="18">
        <f>COUNTIF(C18:L18,"A")+COUNTIF(C18:L18,"A/R")</f>
        <v/>
      </c>
      <c r="N18" s="19">
        <f>IF(COUNTA(C18:L18)=0,"",IF(M18=0,"No A",IF(M18&gt;1,"More than one A","OK")))</f>
        <v/>
      </c>
      <c r="O18" s="18">
        <f>IF(COUNTA(C18:L18)=0,"",SUMPRODUCT((C18:K18&lt;&gt;'Typical reference'!C18:K18)*1))</f>
        <v/>
      </c>
    </row>
    <row r="19" ht="18" customHeight="1">
      <c r="A19" s="12" t="inlineStr">
        <is>
          <t>Program</t>
        </is>
      </c>
      <c r="B19" s="13" t="n"/>
      <c r="C19" s="13" t="n"/>
      <c r="D19" s="13" t="n"/>
      <c r="E19" s="13" t="n"/>
      <c r="F19" s="13" t="n"/>
      <c r="G19" s="13" t="n"/>
      <c r="H19" s="13" t="n"/>
      <c r="I19" s="13" t="n"/>
      <c r="J19" s="13" t="n"/>
      <c r="K19" s="13" t="n"/>
      <c r="L19" s="13" t="n"/>
      <c r="M19" s="13" t="n"/>
      <c r="N19" s="13" t="n"/>
      <c r="O19" s="13" t="n"/>
    </row>
    <row r="20" ht="19.5" customHeight="1">
      <c r="A20" s="14" t="n">
        <v>12</v>
      </c>
      <c r="B20" s="15" t="inlineStr">
        <is>
          <t>Decide and announce a product's end of support</t>
        </is>
      </c>
      <c r="C20" s="16" t="n"/>
      <c r="D20" s="16" t="n"/>
      <c r="E20" s="16" t="n"/>
      <c r="F20" s="16" t="n"/>
      <c r="G20" s="16" t="n"/>
      <c r="H20" s="16" t="n"/>
      <c r="I20" s="16" t="n"/>
      <c r="J20" s="16" t="n"/>
      <c r="K20" s="16" t="n"/>
      <c r="L20" s="17" t="n"/>
      <c r="M20" s="18">
        <f>COUNTIF(C20:L20,"A")+COUNTIF(C20:L20,"A/R")</f>
        <v/>
      </c>
      <c r="N20" s="19">
        <f>IF(COUNTA(C20:L20)=0,"",IF(M20=0,"No A",IF(M20&gt;1,"More than one A","OK")))</f>
        <v/>
      </c>
      <c r="O20" s="18">
        <f>IF(COUNTA(C20:L20)=0,"",SUMPRODUCT((C20:K20&lt;&gt;'Typical reference'!C20:K20)*1))</f>
        <v/>
      </c>
    </row>
    <row r="21" ht="19.5" customHeight="1">
      <c r="A21" s="14" t="n">
        <v>13</v>
      </c>
      <c r="B21" s="15" t="inlineStr">
        <is>
          <t>Include security requirements in supplier contracts</t>
        </is>
      </c>
      <c r="C21" s="16" t="n"/>
      <c r="D21" s="16" t="n"/>
      <c r="E21" s="16" t="n"/>
      <c r="F21" s="16" t="n"/>
      <c r="G21" s="16" t="n"/>
      <c r="H21" s="16" t="n"/>
      <c r="I21" s="16" t="n"/>
      <c r="J21" s="16" t="n"/>
      <c r="K21" s="16" t="n"/>
      <c r="L21" s="17" t="n"/>
      <c r="M21" s="18">
        <f>COUNTIF(C21:L21,"A")+COUNTIF(C21:L21,"A/R")</f>
        <v/>
      </c>
      <c r="N21" s="19">
        <f>IF(COUNTA(C21:L21)=0,"",IF(M21=0,"No A",IF(M21&gt;1,"More than one A","OK")))</f>
        <v/>
      </c>
      <c r="O21" s="18">
        <f>IF(COUNTA(C21:L21)=0,"",SUMPRODUCT((C21:K21&lt;&gt;'Typical reference'!C21:K21)*1))</f>
        <v/>
      </c>
    </row>
    <row r="22" ht="18" customHeight="1">
      <c r="A22" s="12" t="inlineStr">
        <is>
          <t>Your additions (optional): add activities your program needs</t>
        </is>
      </c>
      <c r="B22" s="13" t="n"/>
      <c r="C22" s="13" t="n"/>
      <c r="D22" s="13" t="n"/>
      <c r="E22" s="13" t="n"/>
      <c r="F22" s="13" t="n"/>
      <c r="G22" s="13" t="n"/>
      <c r="H22" s="13" t="n"/>
      <c r="I22" s="13" t="n"/>
      <c r="J22" s="13" t="n"/>
      <c r="K22" s="13" t="n"/>
      <c r="L22" s="13" t="n"/>
      <c r="M22" s="13" t="n"/>
      <c r="N22" s="13" t="n"/>
      <c r="O22" s="13" t="n"/>
    </row>
    <row r="23" ht="19.5" customHeight="1">
      <c r="A23" s="14" t="n"/>
      <c r="B23" s="15" t="n"/>
      <c r="C23" s="16" t="n"/>
      <c r="D23" s="16" t="n"/>
      <c r="E23" s="16" t="n"/>
      <c r="F23" s="16" t="n"/>
      <c r="G23" s="16" t="n"/>
      <c r="H23" s="16" t="n"/>
      <c r="I23" s="16" t="n"/>
      <c r="J23" s="16" t="n"/>
      <c r="K23" s="16" t="n"/>
      <c r="L23" s="17" t="n"/>
      <c r="M23" s="18">
        <f>COUNTIF(C23:L23,"A")+COUNTIF(C23:L23,"A/R")</f>
        <v/>
      </c>
      <c r="N23" s="19">
        <f>IF(COUNTA(C23:L23)=0,"",IF(M23=0,"No A",IF(M23&gt;1,"More than one A","OK")))</f>
        <v/>
      </c>
      <c r="O23" s="18" t="n"/>
    </row>
    <row r="24" ht="19.5" customHeight="1">
      <c r="A24" s="14" t="n"/>
      <c r="B24" s="15" t="n"/>
      <c r="C24" s="16" t="n"/>
      <c r="D24" s="16" t="n"/>
      <c r="E24" s="16" t="n"/>
      <c r="F24" s="16" t="n"/>
      <c r="G24" s="16" t="n"/>
      <c r="H24" s="16" t="n"/>
      <c r="I24" s="16" t="n"/>
      <c r="J24" s="16" t="n"/>
      <c r="K24" s="16" t="n"/>
      <c r="L24" s="17" t="n"/>
      <c r="M24" s="18">
        <f>COUNTIF(C24:L24,"A")+COUNTIF(C24:L24,"A/R")</f>
        <v/>
      </c>
      <c r="N24" s="19">
        <f>IF(COUNTA(C24:L24)=0,"",IF(M24=0,"No A",IF(M24&gt;1,"More than one A","OK")))</f>
        <v/>
      </c>
      <c r="O24" s="18" t="n"/>
    </row>
    <row r="25" ht="19.5" customHeight="1">
      <c r="A25" s="14" t="n"/>
      <c r="B25" s="15" t="n"/>
      <c r="C25" s="16" t="n"/>
      <c r="D25" s="16" t="n"/>
      <c r="E25" s="16" t="n"/>
      <c r="F25" s="16" t="n"/>
      <c r="G25" s="16" t="n"/>
      <c r="H25" s="16" t="n"/>
      <c r="I25" s="16" t="n"/>
      <c r="J25" s="16" t="n"/>
      <c r="K25" s="16" t="n"/>
      <c r="L25" s="17" t="n"/>
      <c r="M25" s="18">
        <f>COUNTIF(C25:L25,"A")+COUNTIF(C25:L25,"A/R")</f>
        <v/>
      </c>
      <c r="N25" s="19">
        <f>IF(COUNTA(C25:L25)=0,"",IF(M25=0,"No A",IF(M25&gt;1,"More than one A","OK")))</f>
        <v/>
      </c>
      <c r="O25" s="18" t="n"/>
    </row>
    <row r="26" ht="19.5" customHeight="1">
      <c r="A26" s="14" t="n"/>
      <c r="B26" s="15" t="n"/>
      <c r="C26" s="16" t="n"/>
      <c r="D26" s="16" t="n"/>
      <c r="E26" s="16" t="n"/>
      <c r="F26" s="16" t="n"/>
      <c r="G26" s="16" t="n"/>
      <c r="H26" s="16" t="n"/>
      <c r="I26" s="16" t="n"/>
      <c r="J26" s="16" t="n"/>
      <c r="K26" s="16" t="n"/>
      <c r="L26" s="17" t="n"/>
      <c r="M26" s="18">
        <f>COUNTIF(C26:L26,"A")+COUNTIF(C26:L26,"A/R")</f>
        <v/>
      </c>
      <c r="N26" s="19">
        <f>IF(COUNTA(C26:L26)=0,"",IF(M26=0,"No A",IF(M26&gt;1,"More than one A","OK")))</f>
        <v/>
      </c>
      <c r="O26" s="18" t="n"/>
    </row>
    <row r="27" ht="19.5" customHeight="1">
      <c r="A27" s="14" t="n"/>
      <c r="B27" s="15" t="n"/>
      <c r="C27" s="16" t="n"/>
      <c r="D27" s="16" t="n"/>
      <c r="E27" s="16" t="n"/>
      <c r="F27" s="16" t="n"/>
      <c r="G27" s="16" t="n"/>
      <c r="H27" s="16" t="n"/>
      <c r="I27" s="16" t="n"/>
      <c r="J27" s="16" t="n"/>
      <c r="K27" s="16" t="n"/>
      <c r="L27" s="17" t="n"/>
      <c r="M27" s="18">
        <f>COUNTIF(C27:L27,"A")+COUNTIF(C27:L27,"A/R")</f>
        <v/>
      </c>
      <c r="N27" s="19">
        <f>IF(COUNTA(C27:L27)=0,"",IF(M27=0,"No A",IF(M27&gt;1,"More than one A","OK")))</f>
        <v/>
      </c>
      <c r="O27" s="18" t="n"/>
    </row>
    <row r="28" ht="19.5" customHeight="1">
      <c r="A28" s="14" t="n"/>
      <c r="B28" s="15" t="n"/>
      <c r="C28" s="16" t="n"/>
      <c r="D28" s="16" t="n"/>
      <c r="E28" s="16" t="n"/>
      <c r="F28" s="16" t="n"/>
      <c r="G28" s="16" t="n"/>
      <c r="H28" s="16" t="n"/>
      <c r="I28" s="16" t="n"/>
      <c r="J28" s="16" t="n"/>
      <c r="K28" s="16" t="n"/>
      <c r="L28" s="17" t="n"/>
      <c r="M28" s="18">
        <f>COUNTIF(C28:L28,"A")+COUNTIF(C28:L28,"A/R")</f>
        <v/>
      </c>
      <c r="N28" s="19">
        <f>IF(COUNTA(C28:L28)=0,"",IF(M28=0,"No A",IF(M28&gt;1,"More than one A","OK")))</f>
        <v/>
      </c>
      <c r="O28" s="18" t="n"/>
    </row>
    <row r="30" ht="28" customHeight="1">
      <c r="B30" s="20" t="inlineStr">
        <is>
          <t>Check flags a row with no A or more than one A. 'Differs from typical' counts cells that differ from the 'Typical reference' sheet: a discussion point, not an error. Grey columns calculate; don't type in them.</t>
        </is>
      </c>
    </row>
  </sheetData>
  <mergeCells count="4">
    <mergeCell ref="A3:B3"/>
    <mergeCell ref="B30:O30"/>
    <mergeCell ref="C3:F3"/>
    <mergeCell ref="H3:I3"/>
  </mergeCells>
  <conditionalFormatting sqref="C6:L28">
    <cfRule type="cellIs" priority="1" operator="equal" dxfId="0">
      <formula>"A"</formula>
    </cfRule>
    <cfRule type="cellIs" priority="2" operator="equal" dxfId="0">
      <formula>"A/R"</formula>
    </cfRule>
    <cfRule type="cellIs" priority="3" operator="equal" dxfId="1">
      <formula>"R"</formula>
    </cfRule>
  </conditionalFormatting>
  <conditionalFormatting sqref="N6:N28">
    <cfRule type="cellIs" priority="4" operator="equal" dxfId="2">
      <formula>"No A"</formula>
    </cfRule>
    <cfRule type="cellIs" priority="5" operator="equal" dxfId="3">
      <formula>"More than one A"</formula>
    </cfRule>
    <cfRule type="cellIs" priority="6" operator="equal" dxfId="4">
      <formula>"OK"</formula>
    </cfRule>
  </conditionalFormatting>
  <conditionalFormatting sqref="O6:O28">
    <cfRule type="cellIs" priority="7" operator="greaterThan" dxfId="1">
      <formula>0</formula>
    </cfRule>
  </conditionalFormatting>
  <dataValidations count="1">
    <dataValidation sqref="C7:L7 C8:L8 C9:L9 C10:L10 C11:L11 C12:L12 C13:L13 C15:L15 C16:L16 C17:L17 C18:L18 C20:L20 C21:L21 C23:L23 C24:L24 C25:L25 C26:L26 C27:L27 C28:L28" showDropDown="0" showInputMessage="0" showErrorMessage="1" allowBlank="1" errorTitle="RACI value" error="Use R, A, C, I or A/R (or leave blank)." promptTitle="RACI" prompt="R, A, C, I or A/R" type="list">
      <formula1>"R,A,C,I,A/R"</formula1>
    </dataValidation>
  </dataValidations>
  <printOptions horizontalCentered="1"/>
  <pageMargins left="0.4" right="0.4" top="0.5" bottom="0.6" header="0.5" footer="0.5"/>
  <pageSetup orientation="landscape" paperSize="1" fitToHeight="0" fitToWidth="1"/>
  <headerFooter>
    <oddHeader/>
    <oddFooter>&amp;L&amp;8 Product Security in One Hour · CC BY 4.0 · mjhillyer.github.io/Product-Security-in-One-Hour_x000a_In-depth training: Matt Hillyer LLC, matt@matthillyer.io&amp;R&amp;8 &amp;A · Page &amp;P of &amp;N</oddFooter>
    <evenHeader/>
    <evenFooter/>
    <firstHeader/>
    <firstFooter/>
  </headerFooter>
</worksheet>
</file>

<file path=xl/worksheets/sheet2.xml><?xml version="1.0" encoding="utf-8"?>
<worksheet xmlns="http://schemas.openxmlformats.org/spreadsheetml/2006/main">
  <sheetPr>
    <tabColor rgb="00233884"/>
    <outlinePr summaryBelow="1" summaryRight="1"/>
    <pageSetUpPr fitToPage="1"/>
  </sheetPr>
  <dimension ref="A1:N23"/>
  <sheetViews>
    <sheetView showGridLines="0" tabSelected="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46"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1.5" customWidth="1" min="10" max="10"/>
    <col width="11.5" customWidth="1" min="11" max="11"/>
    <col width="9" customWidth="1" min="12" max="12"/>
    <col width="10" customWidth="1" min="13" max="13"/>
    <col width="62" customWidth="1" min="14" max="14"/>
  </cols>
  <sheetData>
    <row r="1" ht="30" customHeight="1">
      <c r="A1" s="1" t="inlineStr">
        <is>
          <t>Product Security Program RACI: typical reference</t>
        </is>
      </c>
      <c r="B1" s="2" t="n"/>
      <c r="C1" s="2" t="n"/>
      <c r="D1" s="2" t="n"/>
      <c r="E1" s="2" t="n"/>
      <c r="F1" s="2" t="n"/>
      <c r="G1" s="2" t="n"/>
      <c r="H1" s="2" t="n"/>
      <c r="I1" s="2" t="n"/>
      <c r="J1" s="2" t="n"/>
      <c r="K1" s="2" t="n"/>
      <c r="L1" s="2" t="n"/>
      <c r="M1" s="2" t="n"/>
      <c r="N1" s="2" t="n"/>
    </row>
    <row r="2" ht="20" customHeight="1">
      <c r="A2" s="3" t="inlineStr">
        <is>
          <t>One typical split for a medical device manufacturer. Organizations differ: use it to start a discussion, not as the answer.</t>
        </is>
      </c>
      <c r="B2" s="4" t="n"/>
      <c r="C2" s="4" t="n"/>
      <c r="D2" s="4" t="n"/>
      <c r="E2" s="4" t="n"/>
      <c r="F2" s="4" t="n"/>
      <c r="G2" s="4" t="n"/>
      <c r="H2" s="4" t="n"/>
      <c r="I2" s="4" t="n"/>
      <c r="J2" s="4" t="n"/>
      <c r="K2" s="4" t="n"/>
      <c r="L2" s="4" t="n"/>
      <c r="M2" s="4" t="n"/>
      <c r="N2" s="4" t="n"/>
    </row>
    <row r="4">
      <c r="A4" s="8" t="inlineStr">
        <is>
          <t>R = Responsible (does the work)   ·   A = Accountable (owns the outcome; exactly one per row)   ·   C = Consulted (gives input before)   ·   I = Informed (told after)   ·   A/R = accountable and does the work</t>
        </is>
      </c>
    </row>
    <row r="5" ht="32" customHeight="1">
      <c r="A5" s="9" t="inlineStr">
        <is>
          <t>#</t>
        </is>
      </c>
      <c r="B5" s="9" t="inlineStr">
        <is>
          <t>Activity</t>
        </is>
      </c>
      <c r="C5" s="10" t="inlineStr">
        <is>
          <t>Product owner</t>
        </is>
      </c>
      <c r="D5" s="10" t="inlineStr">
        <is>
          <t>Program manager</t>
        </is>
      </c>
      <c r="E5" s="10" t="inlineStr">
        <is>
          <t>Engineering</t>
        </is>
      </c>
      <c r="F5" s="10" t="inlineStr">
        <is>
          <t>Product security</t>
        </is>
      </c>
      <c r="G5" s="10" t="inlineStr">
        <is>
          <t>Quality &amp; regulatory</t>
        </is>
      </c>
      <c r="H5" s="10" t="inlineStr">
        <is>
          <t>Clinical</t>
        </is>
      </c>
      <c r="I5" s="10" t="inlineStr">
        <is>
          <t>Service &amp; support</t>
        </is>
      </c>
      <c r="J5" s="10" t="inlineStr">
        <is>
          <t>Sales &amp; customer-facing</t>
        </is>
      </c>
      <c r="K5" s="10" t="inlineStr">
        <is>
          <t>Supply chain</t>
        </is>
      </c>
      <c r="L5" s="10" t="inlineStr">
        <is>
          <t>A count (auto)</t>
        </is>
      </c>
      <c r="M5" s="10" t="inlineStr">
        <is>
          <t>Check (auto)</t>
        </is>
      </c>
      <c r="N5" s="10" t="inlineStr">
        <is>
          <t>Why it often looks like this</t>
        </is>
      </c>
    </row>
    <row r="6" ht="18" customHeight="1">
      <c r="A6" s="12" t="inlineStr">
        <is>
          <t>Premarket</t>
        </is>
      </c>
      <c r="B6" s="13" t="n"/>
      <c r="C6" s="13" t="n"/>
      <c r="D6" s="13" t="n"/>
      <c r="E6" s="13" t="n"/>
      <c r="F6" s="13" t="n"/>
      <c r="G6" s="13" t="n"/>
      <c r="H6" s="13" t="n"/>
      <c r="I6" s="13" t="n"/>
      <c r="J6" s="13" t="n"/>
      <c r="K6" s="13" t="n"/>
      <c r="L6" s="13" t="n"/>
      <c r="M6" s="13" t="n"/>
      <c r="N6" s="13" t="n"/>
    </row>
    <row r="7" ht="43.5" customHeight="1">
      <c r="A7" s="14" t="n">
        <v>1</v>
      </c>
      <c r="B7" s="15" t="inlineStr">
        <is>
          <t>Decide whether a new feature or design change affects security, and bring in product security</t>
        </is>
      </c>
      <c r="C7" s="16" t="inlineStr">
        <is>
          <t>A</t>
        </is>
      </c>
      <c r="D7" s="16" t="inlineStr">
        <is>
          <t>I</t>
        </is>
      </c>
      <c r="E7" s="16" t="inlineStr">
        <is>
          <t>R</t>
        </is>
      </c>
      <c r="F7" s="16" t="inlineStr">
        <is>
          <t>C</t>
        </is>
      </c>
      <c r="G7" s="16" t="n"/>
      <c r="H7" s="16" t="n"/>
      <c r="I7" s="16" t="n"/>
      <c r="J7" s="16" t="n"/>
      <c r="K7" s="16" t="n"/>
      <c r="L7" s="18">
        <f>COUNTIF(C7:K7,"A")+COUNTIF(C7:K7,"A/R")</f>
        <v/>
      </c>
      <c r="M7" s="18">
        <f>IF(COUNTA(C7:K7)=0,"",IF(L7=0,"No A",IF(L7&gt;1,"More than one A","OK")))</f>
        <v/>
      </c>
      <c r="N7" s="21" t="inlineStr">
        <is>
          <t>The product owner owns the decision to engage; engineers usually spot the change first. Many organizations make this a checklist item at design reviews.</t>
        </is>
      </c>
    </row>
    <row r="8" ht="33" customHeight="1">
      <c r="A8" s="14" t="n">
        <v>2</v>
      </c>
      <c r="B8" s="15" t="inlineStr">
        <is>
          <t>Plan security activities and deliverables into the project schedule</t>
        </is>
      </c>
      <c r="C8" s="16" t="inlineStr">
        <is>
          <t>A</t>
        </is>
      </c>
      <c r="D8" s="16" t="inlineStr">
        <is>
          <t>R</t>
        </is>
      </c>
      <c r="E8" s="16" t="inlineStr">
        <is>
          <t>C</t>
        </is>
      </c>
      <c r="F8" s="16" t="inlineStr">
        <is>
          <t>C</t>
        </is>
      </c>
      <c r="G8" s="16" t="inlineStr">
        <is>
          <t>C</t>
        </is>
      </c>
      <c r="H8" s="16" t="n"/>
      <c r="I8" s="16" t="n"/>
      <c r="J8" s="16" t="n"/>
      <c r="K8" s="16" t="n"/>
      <c r="L8" s="18">
        <f>COUNTIF(C8:K8,"A")+COUNTIF(C8:K8,"A/R")</f>
        <v/>
      </c>
      <c r="M8" s="18">
        <f>IF(COUNTA(C8:K8)=0,"",IF(L8=0,"No A",IF(L8&gt;1,"More than one A","OK")))</f>
        <v/>
      </c>
      <c r="N8" s="21" t="inlineStr">
        <is>
          <t>Security work that isn't on the schedule gets squeezed out. Program management owns the plan; product security says what's needed.</t>
        </is>
      </c>
    </row>
    <row r="9" ht="43.5" customHeight="1">
      <c r="A9" s="14" t="n">
        <v>3</v>
      </c>
      <c r="B9" s="15" t="inlineStr">
        <is>
          <t>Threat model the product and assess security risk</t>
        </is>
      </c>
      <c r="C9" s="16" t="inlineStr">
        <is>
          <t>I</t>
        </is>
      </c>
      <c r="D9" s="16" t="n"/>
      <c r="E9" s="16" t="inlineStr">
        <is>
          <t>R</t>
        </is>
      </c>
      <c r="F9" s="16" t="inlineStr">
        <is>
          <t>A</t>
        </is>
      </c>
      <c r="G9" s="16" t="inlineStr">
        <is>
          <t>C</t>
        </is>
      </c>
      <c r="H9" s="16" t="inlineStr">
        <is>
          <t>C</t>
        </is>
      </c>
      <c r="I9" s="16" t="n"/>
      <c r="J9" s="16" t="n"/>
      <c r="K9" s="16" t="n"/>
      <c r="L9" s="18">
        <f>COUNTIF(C9:K9,"A")+COUNTIF(C9:K9,"A/R")</f>
        <v/>
      </c>
      <c r="M9" s="18">
        <f>IF(COUNTA(C9:K9)=0,"",IF(L9=0,"No A",IF(L9&gt;1,"More than one A","OK")))</f>
        <v/>
      </c>
      <c r="N9" s="21" t="inlineStr">
        <is>
          <t>Product security usually leads, but engineers who know the design do much of the work. Clinical input on harm matters. Some organizations make engineering accountable, with product security reviewing.</t>
        </is>
      </c>
    </row>
    <row r="10" ht="33" customHeight="1">
      <c r="A10" s="14" t="n">
        <v>4</v>
      </c>
      <c r="B10" s="15" t="inlineStr">
        <is>
          <t>Define security requirements and trace them to tests</t>
        </is>
      </c>
      <c r="C10" s="16" t="inlineStr">
        <is>
          <t>A</t>
        </is>
      </c>
      <c r="D10" s="16" t="n"/>
      <c r="E10" s="16" t="inlineStr">
        <is>
          <t>R</t>
        </is>
      </c>
      <c r="F10" s="16" t="inlineStr">
        <is>
          <t>C</t>
        </is>
      </c>
      <c r="G10" s="16" t="inlineStr">
        <is>
          <t>C</t>
        </is>
      </c>
      <c r="H10" s="16" t="n"/>
      <c r="I10" s="16" t="n"/>
      <c r="J10" s="16" t="n"/>
      <c r="K10" s="16" t="n"/>
      <c r="L10" s="18">
        <f>COUNTIF(C10:K10,"A")+COUNTIF(C10:K10,"A/R")</f>
        <v/>
      </c>
      <c r="M10" s="18">
        <f>IF(COUNTA(C10:K10)=0,"",IF(L10=0,"No A",IF(L10&gt;1,"More than one A","OK")))</f>
        <v/>
      </c>
      <c r="N10" s="21" t="inlineStr">
        <is>
          <t>Requirements belong to the product, so they follow the normal requirements process; product security advises on content.</t>
        </is>
      </c>
    </row>
    <row r="11" ht="33" customHeight="1">
      <c r="A11" s="14" t="n">
        <v>5</v>
      </c>
      <c r="B11" s="15" t="inlineStr">
        <is>
          <t>Select third-party and open-source components and keep the SBOM current</t>
        </is>
      </c>
      <c r="C11" s="16" t="n"/>
      <c r="D11" s="16" t="n"/>
      <c r="E11" s="16" t="inlineStr">
        <is>
          <t>A/R</t>
        </is>
      </c>
      <c r="F11" s="16" t="inlineStr">
        <is>
          <t>C</t>
        </is>
      </c>
      <c r="G11" s="16" t="inlineStr">
        <is>
          <t>I</t>
        </is>
      </c>
      <c r="H11" s="16" t="n"/>
      <c r="I11" s="16" t="n"/>
      <c r="J11" s="16" t="n"/>
      <c r="K11" s="16" t="inlineStr">
        <is>
          <t>C</t>
        </is>
      </c>
      <c r="L11" s="18">
        <f>COUNTIF(C11:K11,"A")+COUNTIF(C11:K11,"A/R")</f>
        <v/>
      </c>
      <c r="M11" s="18">
        <f>IF(COUNTA(C11:K11)=0,"",IF(L11=0,"No A",IF(L11&gt;1,"More than one A","OK")))</f>
        <v/>
      </c>
      <c r="N11" s="21" t="inlineStr">
        <is>
          <t>Engineering chooses components and maintains the SBOM; product security reviews risk; supply chain covers commercial suppliers.</t>
        </is>
      </c>
    </row>
    <row r="12" ht="31" customHeight="1">
      <c r="A12" s="14" t="n">
        <v>6</v>
      </c>
      <c r="B12" s="15" t="inlineStr">
        <is>
          <t>Run security testing, including penetration testing</t>
        </is>
      </c>
      <c r="C12" s="16" t="n"/>
      <c r="D12" s="16" t="n"/>
      <c r="E12" s="16" t="inlineStr">
        <is>
          <t>R</t>
        </is>
      </c>
      <c r="F12" s="16" t="inlineStr">
        <is>
          <t>A</t>
        </is>
      </c>
      <c r="G12" s="16" t="inlineStr">
        <is>
          <t>I</t>
        </is>
      </c>
      <c r="H12" s="16" t="n"/>
      <c r="I12" s="16" t="n"/>
      <c r="J12" s="16" t="n"/>
      <c r="K12" s="16" t="n"/>
      <c r="L12" s="18">
        <f>COUNTIF(C12:K12,"A")+COUNTIF(C12:K12,"A/R")</f>
        <v/>
      </c>
      <c r="M12" s="18">
        <f>IF(COUNTA(C12:K12)=0,"",IF(L12=0,"No A",IF(L12&gt;1,"More than one A","OK")))</f>
        <v/>
      </c>
      <c r="N12" s="21" t="inlineStr">
        <is>
          <t>Often product security or an independent tester performs penetration testing; engineering runs security requirements tests.</t>
        </is>
      </c>
    </row>
    <row r="13" ht="33" customHeight="1">
      <c r="A13" s="14" t="n">
        <v>7</v>
      </c>
      <c r="B13" s="15" t="inlineStr">
        <is>
          <t>Prepare the cybersecurity content of the regulatory submission</t>
        </is>
      </c>
      <c r="C13" s="16" t="n"/>
      <c r="D13" s="16" t="inlineStr">
        <is>
          <t>I</t>
        </is>
      </c>
      <c r="E13" s="16" t="inlineStr">
        <is>
          <t>C</t>
        </is>
      </c>
      <c r="F13" s="16" t="inlineStr">
        <is>
          <t>R</t>
        </is>
      </c>
      <c r="G13" s="16" t="inlineStr">
        <is>
          <t>A</t>
        </is>
      </c>
      <c r="H13" s="16" t="n"/>
      <c r="I13" s="16" t="n"/>
      <c r="J13" s="16" t="n"/>
      <c r="K13" s="16" t="n"/>
      <c r="L13" s="18">
        <f>COUNTIF(C13:K13,"A")+COUNTIF(C13:K13,"A/R")</f>
        <v/>
      </c>
      <c r="M13" s="18">
        <f>IF(COUNTA(C13:K13)=0,"",IF(L13=0,"No A",IF(L13&gt;1,"More than one A","OK")))</f>
        <v/>
      </c>
      <c r="N13" s="21" t="inlineStr">
        <is>
          <t>Regulatory owns the submission; product security writes or assembles most of the security content.</t>
        </is>
      </c>
    </row>
    <row r="14" ht="18" customHeight="1">
      <c r="A14" s="12" t="inlineStr">
        <is>
          <t>Postmarket</t>
        </is>
      </c>
      <c r="B14" s="13" t="n"/>
      <c r="C14" s="13" t="n"/>
      <c r="D14" s="13" t="n"/>
      <c r="E14" s="13" t="n"/>
      <c r="F14" s="13" t="n"/>
      <c r="G14" s="13" t="n"/>
      <c r="H14" s="13" t="n"/>
      <c r="I14" s="13" t="n"/>
      <c r="J14" s="13" t="n"/>
      <c r="K14" s="13" t="n"/>
      <c r="L14" s="13" t="n"/>
      <c r="M14" s="13" t="n"/>
      <c r="N14" s="13" t="n"/>
    </row>
    <row r="15" ht="31" customHeight="1">
      <c r="A15" s="14" t="n">
        <v>8</v>
      </c>
      <c r="B15" s="15" t="inlineStr">
        <is>
          <t>Receive and triage vulnerability reports (PSIRT)</t>
        </is>
      </c>
      <c r="C15" s="16" t="n"/>
      <c r="D15" s="16" t="n"/>
      <c r="E15" s="16" t="inlineStr">
        <is>
          <t>C</t>
        </is>
      </c>
      <c r="F15" s="16" t="inlineStr">
        <is>
          <t>A/R</t>
        </is>
      </c>
      <c r="G15" s="16" t="inlineStr">
        <is>
          <t>C</t>
        </is>
      </c>
      <c r="H15" s="16" t="n"/>
      <c r="I15" s="16" t="inlineStr">
        <is>
          <t>I</t>
        </is>
      </c>
      <c r="J15" s="16" t="inlineStr">
        <is>
          <t>I</t>
        </is>
      </c>
      <c r="K15" s="16" t="n"/>
      <c r="L15" s="18">
        <f>COUNTIF(C15:K15,"A")+COUNTIF(C15:K15,"A/R")</f>
        <v/>
      </c>
      <c r="M15" s="18">
        <f>IF(COUNTA(C15:K15)=0,"",IF(L15=0,"No A",IF(L15&gt;1,"More than one A","OK")))</f>
        <v/>
      </c>
      <c r="N15" s="21" t="inlineStr">
        <is>
          <t>Most organizations have a PSIRT within or alongside product security. Service and sales need to know where to send anything they hear.</t>
        </is>
      </c>
    </row>
    <row r="16" ht="33" customHeight="1">
      <c r="A16" s="14" t="n">
        <v>9</v>
      </c>
      <c r="B16" s="15" t="inlineStr">
        <is>
          <t>Assess a vulnerability's patient-safety impact (controlled or uncontrolled risk)</t>
        </is>
      </c>
      <c r="C16" s="16" t="n"/>
      <c r="D16" s="16" t="n"/>
      <c r="E16" s="16" t="inlineStr">
        <is>
          <t>C</t>
        </is>
      </c>
      <c r="F16" s="16" t="inlineStr">
        <is>
          <t>R</t>
        </is>
      </c>
      <c r="G16" s="16" t="inlineStr">
        <is>
          <t>A</t>
        </is>
      </c>
      <c r="H16" s="16" t="inlineStr">
        <is>
          <t>C</t>
        </is>
      </c>
      <c r="I16" s="16" t="n"/>
      <c r="J16" s="16" t="n"/>
      <c r="K16" s="16" t="n"/>
      <c r="L16" s="18">
        <f>COUNTIF(C16:K16,"A")+COUNTIF(C16:K16,"A/R")</f>
        <v/>
      </c>
      <c r="M16" s="18">
        <f>IF(COUNTA(C16:K16)=0,"",IF(L16=0,"No A",IF(L16&gt;1,"More than one A","OK")))</f>
        <v/>
      </c>
      <c r="N16" s="21" t="inlineStr">
        <is>
          <t>The safety risk owner, often in quality, is accountable for the risk file; product security brings the exploitability view.</t>
        </is>
      </c>
    </row>
    <row r="17" ht="43.5" customHeight="1">
      <c r="A17" s="14" t="n">
        <v>10</v>
      </c>
      <c r="B17" s="15" t="inlineStr">
        <is>
          <t>Communicate with customers about a vulnerability and its mitigations</t>
        </is>
      </c>
      <c r="C17" s="16" t="inlineStr">
        <is>
          <t>A</t>
        </is>
      </c>
      <c r="D17" s="16" t="n"/>
      <c r="E17" s="16" t="n"/>
      <c r="F17" s="16" t="inlineStr">
        <is>
          <t>R</t>
        </is>
      </c>
      <c r="G17" s="16" t="inlineStr">
        <is>
          <t>C</t>
        </is>
      </c>
      <c r="H17" s="16" t="n"/>
      <c r="I17" s="16" t="inlineStr">
        <is>
          <t>C</t>
        </is>
      </c>
      <c r="J17" s="16" t="inlineStr">
        <is>
          <t>C</t>
        </is>
      </c>
      <c r="K17" s="16" t="n"/>
      <c r="L17" s="18">
        <f>COUNTIF(C17:K17,"A")+COUNTIF(C17:K17,"A/R")</f>
        <v/>
      </c>
      <c r="M17" s="18">
        <f>IF(COUNTA(C17:K17)=0,"",IF(L17=0,"No A",IF(L17&gt;1,"More than one A","OK")))</f>
        <v/>
      </c>
      <c r="N17" s="21" t="inlineStr">
        <is>
          <t>This varies widely. Some organizations make product security or a communications team accountable. Everyone customer-facing should use the same approved message.</t>
        </is>
      </c>
    </row>
    <row r="18" ht="33" customHeight="1">
      <c r="A18" s="14" t="n">
        <v>11</v>
      </c>
      <c r="B18" s="15" t="inlineStr">
        <is>
          <t>Answer hospital security questionnaires and provide the MDS2 form</t>
        </is>
      </c>
      <c r="C18" s="16" t="n"/>
      <c r="D18" s="16" t="n"/>
      <c r="E18" s="16" t="inlineStr">
        <is>
          <t>C</t>
        </is>
      </c>
      <c r="F18" s="16" t="inlineStr">
        <is>
          <t>A</t>
        </is>
      </c>
      <c r="G18" s="16" t="n"/>
      <c r="H18" s="16" t="n"/>
      <c r="I18" s="16" t="inlineStr">
        <is>
          <t>C</t>
        </is>
      </c>
      <c r="J18" s="16" t="inlineStr">
        <is>
          <t>R</t>
        </is>
      </c>
      <c r="K18" s="16" t="n"/>
      <c r="L18" s="18">
        <f>COUNTIF(C18:K18,"A")+COUNTIF(C18:K18,"A/R")</f>
        <v/>
      </c>
      <c r="M18" s="18">
        <f>IF(COUNTA(C18:K18)=0,"",IF(L18=0,"No A",IF(L18&gt;1,"More than one A","OK")))</f>
        <v/>
      </c>
      <c r="N18" s="21" t="inlineStr">
        <is>
          <t>Sales usually runs the process with the customer; product security owns the accuracy of the answers.</t>
        </is>
      </c>
    </row>
    <row r="19" ht="18" customHeight="1">
      <c r="A19" s="12" t="inlineStr">
        <is>
          <t>Program</t>
        </is>
      </c>
      <c r="B19" s="13" t="n"/>
      <c r="C19" s="13" t="n"/>
      <c r="D19" s="13" t="n"/>
      <c r="E19" s="13" t="n"/>
      <c r="F19" s="13" t="n"/>
      <c r="G19" s="13" t="n"/>
      <c r="H19" s="13" t="n"/>
      <c r="I19" s="13" t="n"/>
      <c r="J19" s="13" t="n"/>
      <c r="K19" s="13" t="n"/>
      <c r="L19" s="13" t="n"/>
      <c r="M19" s="13" t="n"/>
      <c r="N19" s="13" t="n"/>
    </row>
    <row r="20" ht="31" customHeight="1">
      <c r="A20" s="14" t="n">
        <v>12</v>
      </c>
      <c r="B20" s="15" t="inlineStr">
        <is>
          <t>Decide and announce a product's end of support</t>
        </is>
      </c>
      <c r="C20" s="16" t="inlineStr">
        <is>
          <t>A</t>
        </is>
      </c>
      <c r="D20" s="16" t="inlineStr">
        <is>
          <t>R</t>
        </is>
      </c>
      <c r="E20" s="16" t="n"/>
      <c r="F20" s="16" t="inlineStr">
        <is>
          <t>C</t>
        </is>
      </c>
      <c r="G20" s="16" t="inlineStr">
        <is>
          <t>C</t>
        </is>
      </c>
      <c r="H20" s="16" t="n"/>
      <c r="I20" s="16" t="inlineStr">
        <is>
          <t>C</t>
        </is>
      </c>
      <c r="J20" s="16" t="inlineStr">
        <is>
          <t>I</t>
        </is>
      </c>
      <c r="K20" s="16" t="n"/>
      <c r="L20" s="18">
        <f>COUNTIF(C20:K20,"A")+COUNTIF(C20:K20,"A/R")</f>
        <v/>
      </c>
      <c r="M20" s="18">
        <f>IF(COUNTA(C20:K20)=0,"",IF(L20=0,"No A",IF(L20&gt;1,"More than one A","OK")))</f>
        <v/>
      </c>
      <c r="N20" s="21" t="inlineStr">
        <is>
          <t>End of support is a business decision with security and regulatory consequences. Customers need it well in advance.</t>
        </is>
      </c>
    </row>
    <row r="21" ht="31" customHeight="1">
      <c r="A21" s="14" t="n">
        <v>13</v>
      </c>
      <c r="B21" s="15" t="inlineStr">
        <is>
          <t>Include security requirements in supplier contracts</t>
        </is>
      </c>
      <c r="C21" s="16" t="n"/>
      <c r="D21" s="16" t="n"/>
      <c r="E21" s="16" t="n"/>
      <c r="F21" s="16" t="inlineStr">
        <is>
          <t>C</t>
        </is>
      </c>
      <c r="G21" s="16" t="inlineStr">
        <is>
          <t>C</t>
        </is>
      </c>
      <c r="H21" s="16" t="n"/>
      <c r="I21" s="16" t="n"/>
      <c r="J21" s="16" t="n"/>
      <c r="K21" s="16" t="inlineStr">
        <is>
          <t>A/R</t>
        </is>
      </c>
      <c r="L21" s="18">
        <f>COUNTIF(C21:K21,"A")+COUNTIF(C21:K21,"A/R")</f>
        <v/>
      </c>
      <c r="M21" s="18">
        <f>IF(COUNTA(C21:K21)=0,"",IF(L21=0,"No A",IF(L21&gt;1,"More than one A","OK")))</f>
        <v/>
      </c>
      <c r="N21" s="21" t="inlineStr">
        <is>
          <t>Supply chain owns contracts; product security defines what suppliers must do, such as notifying you about vulnerabilities in their components.</t>
        </is>
      </c>
    </row>
    <row r="23">
      <c r="B23" s="8" t="inlineStr">
        <is>
          <t>Source: Product Security in One Hour (CC BY 4.0). Blank = not usually involved.</t>
        </is>
      </c>
    </row>
  </sheetData>
  <conditionalFormatting sqref="C6:K21">
    <cfRule type="cellIs" priority="1" operator="equal" dxfId="0">
      <formula>"A"</formula>
    </cfRule>
    <cfRule type="cellIs" priority="2" operator="equal" dxfId="0">
      <formula>"A/R"</formula>
    </cfRule>
    <cfRule type="cellIs" priority="3" operator="equal" dxfId="1">
      <formula>"R"</formula>
    </cfRule>
  </conditionalFormatting>
  <conditionalFormatting sqref="M6:M21">
    <cfRule type="cellIs" priority="4" operator="equal" dxfId="2">
      <formula>"No A"</formula>
    </cfRule>
    <cfRule type="cellIs" priority="5" operator="equal" dxfId="3">
      <formula>"More than one A"</formula>
    </cfRule>
    <cfRule type="cellIs" priority="6" operator="equal" dxfId="4">
      <formula>"OK"</formula>
    </cfRule>
  </conditionalFormatting>
  <printOptions horizontalCentered="1"/>
  <pageMargins left="0.4" right="0.4" top="0.5" bottom="0.6" header="0.5" footer="0.5"/>
  <pageSetup orientation="landscape" paperSize="1" fitToHeight="0" fitToWidth="1"/>
  <headerFooter>
    <oddHeader/>
    <oddFooter>&amp;L&amp;8 Product Security in One Hour · CC BY 4.0 · mjhillyer.github.io/Product-Security-in-One-Hour_x000a_In-depth training: Matt Hillyer LLC, matt@matthillyer.io&amp;R&amp;8 &amp;A · Page &amp;P of &amp;N</oddFooter>
    <evenHeader/>
    <evenFooter/>
    <firstHeader/>
    <firstFooter/>
  </headerFooter>
</worksheet>
</file>

<file path=xl/worksheets/sheet3.xml><?xml version="1.0" encoding="utf-8"?>
<worksheet xmlns="http://schemas.openxmlformats.org/spreadsheetml/2006/main">
  <sheetPr>
    <tabColor rgb="008FA3B5"/>
    <outlinePr summaryBelow="1" summaryRight="1"/>
    <pageSetUpPr fitToPage="1"/>
  </sheetPr>
  <dimension ref="A1:C12"/>
  <sheetViews>
    <sheetView showGridLines="0" tabSelected="0" workbookViewId="0">
      <selection activeCell="A1" sqref="A1"/>
    </sheetView>
  </sheetViews>
  <sheetFormatPr baseColWidth="8" defaultRowHeight="15"/>
  <cols>
    <col width="3" customWidth="1" min="1" max="1"/>
    <col width="26" customWidth="1" min="2" max="2"/>
    <col width="100" customWidth="1" min="3" max="3"/>
  </cols>
  <sheetData>
    <row r="1" ht="30" customHeight="1">
      <c r="A1" s="1" t="n"/>
      <c r="B1" s="22" t="inlineStr">
        <is>
          <t>Product Security Program RACI: how to use</t>
        </is>
      </c>
      <c r="C1" s="2" t="n"/>
    </row>
    <row r="2" ht="20" customHeight="1">
      <c r="A2" s="3" t="n"/>
      <c r="B2" s="23" t="inlineStr">
        <is>
          <t>A starting point for writing down who does what in your product security program.</t>
        </is>
      </c>
      <c r="C2" s="4" t="n"/>
    </row>
    <row r="4" ht="78" customHeight="1">
      <c r="B4" s="24" t="inlineStr">
        <is>
          <t>What RACI means</t>
        </is>
      </c>
      <c r="C4" s="25" t="inlineStr">
        <is>
          <t>R  Responsible: does the work. A row can have several.
A  Accountable: owns the outcome and makes the final call. Exactly one per row.
C  Consulted: gives input before the work is done.
I  Informed: told about the outcome.
A/R  Accountable and also does the work (common for small, focused activities).</t>
        </is>
      </c>
    </row>
    <row r="5" ht="36" customHeight="1">
      <c r="B5" s="26" t="inlineStr">
        <is>
          <t>1. Adapt the roles</t>
        </is>
      </c>
      <c r="C5" s="25" t="inlineStr">
        <is>
          <t>Rename the role headings on 'Your RACI' to match your organization. Use the grey 'Other (rename)' column for a role you need that isn't listed (legal, communications, IT security, a contract manufacturer), or leave it empty.</t>
        </is>
      </c>
    </row>
    <row r="6" ht="36" customHeight="1">
      <c r="B6" s="26" t="inlineStr">
        <is>
          <t>2. Fill in your grid</t>
        </is>
      </c>
      <c r="C6" s="25" t="inlineStr">
        <is>
          <t>For each activity, choose from the dropdown. Start with the A: who owns the outcome? Then mark who does the work (R). Add C and I sparingly; a row full of C slows decisions down.</t>
        </is>
      </c>
    </row>
    <row r="7" ht="36" customHeight="1">
      <c r="B7" s="26" t="inlineStr">
        <is>
          <t>3. Read the Check column</t>
        </is>
      </c>
      <c r="C7" s="25" t="inlineStr">
        <is>
          <t>'No A' means nobody owns the outcome, which is the most common gap. 'More than one A' means ownership is split; pick one owner and make the others R or C. 'OK' means exactly one A or A/R.</t>
        </is>
      </c>
    </row>
    <row r="8" ht="50" customHeight="1">
      <c r="B8" s="26" t="inlineStr">
        <is>
          <t>4. Compare, then discuss</t>
        </is>
      </c>
      <c r="C8" s="25" t="inlineStr">
        <is>
          <t>Open 'Typical reference' to see one common split and why. 'Differs from typical' counts the cells where your row is different. Differences are discussion points, not errors: organizations differ in size, structure and products, and your answer may be right for you.</t>
        </is>
      </c>
    </row>
    <row r="9" ht="36" customHeight="1">
      <c r="B9" s="26" t="inlineStr">
        <is>
          <t>5. Add your own activities</t>
        </is>
      </c>
      <c r="C9" s="25" t="inlineStr">
        <is>
          <t>Use the 'Your additions' rows for activities your program needs, such as security training, incident response with hospitals, or managing a contract manufacturer. The Check column works there too.</t>
        </is>
      </c>
    </row>
    <row r="10" ht="36" customHeight="1">
      <c r="B10" s="26" t="inlineStr">
        <is>
          <t>6. Agree it and keep it</t>
        </is>
      </c>
      <c r="C10" s="25" t="inlineStr">
        <is>
          <t>Review the grid with the people named in it, adjust, and store it with your organization's procedure. Revisit it when the organization or the product changes.</t>
        </is>
      </c>
    </row>
    <row r="11" ht="50" customHeight="1">
      <c r="B11" s="24" t="inlineStr">
        <is>
          <t>Rules of thumb</t>
        </is>
      </c>
      <c r="C11" s="25" t="inlineStr">
        <is>
          <t>One A per row. The A needs the authority to decide, not just the expertise. Product security is often consulted or responsible rather than accountable for product and regulatory decisions. Don't forget service, sales and supply chain: much of what product security needs to know reaches the company through them.</t>
        </is>
      </c>
    </row>
    <row r="12" ht="50" customHeight="1">
      <c r="B12" s="24" t="inlineStr">
        <is>
          <t>About this template</t>
        </is>
      </c>
      <c r="C12" s="25" t="inlineStr">
        <is>
          <t>From Product Security in One Hour, a free course (CC BY 4.0): mjhillyer.github.io/Product-Security-in-One-Hour. Training template: adapt it to your organization. It isn't legal or regulatory advice. In-depth training: Matt Hillyer LLC, matt@matthillyer.io.</t>
        </is>
      </c>
    </row>
  </sheetData>
  <printOptions horizontalCentered="1"/>
  <pageMargins left="0.4" right="0.4" top="0.5" bottom="0.6" header="0.5" footer="0.5"/>
  <pageSetup orientation="landscape" paperSize="1" fitToHeight="0" fitToWidth="1"/>
  <headerFooter>
    <oddHeader/>
    <oddFooter>&amp;L&amp;8 Product Security in One Hour · CC BY 4.0 · mjhillyer.github.io/Product-Security-in-One-Hour_x000a_In-depth training: Matt Hillyer LLC, matt@matthillyer.io&amp;R&amp;8 &amp;A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Product Security in One Hour</dc:creator>
  <dc:title xmlns:dc="http://purl.org/dc/elements/1.1/">Product Security Program RACI</dc:title>
  <dcterms:created xmlns:dcterms="http://purl.org/dc/terms/" xmlns:xsi="http://www.w3.org/2001/XMLSchema-instance" xsi:type="dcterms:W3CDTF">2026-10-12T16:57:18Z</dcterms:created>
  <dcterms:modified xmlns:dcterms="http://purl.org/dc/terms/" xmlns:xsi="http://www.w3.org/2001/XMLSchema-instance" xsi:type="dcterms:W3CDTF">2026-10-12T16:57:18Z</dcterms:modified>
</cp:coreProperties>
</file>